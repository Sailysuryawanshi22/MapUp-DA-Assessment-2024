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yali Suryawanshi\Downloads\"/>
    </mc:Choice>
  </mc:AlternateContent>
  <xr:revisionPtr revIDLastSave="0" documentId="13_ncr:1_{471FEBD2-EC6B-45C5-BD06-C8A1AF87345B}" xr6:coauthVersionLast="47" xr6:coauthVersionMax="47" xr10:uidLastSave="{00000000-0000-0000-0000-000000000000}"/>
  <bookViews>
    <workbookView xWindow="-110" yWindow="-110" windowWidth="19420" windowHeight="115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<sst xmlns="http://schemas.openxmlformats.org/spreadsheetml/2006/main" count="409" uniqueCount="186">
  <si>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</si>
  <si>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</si>
  <si>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</si>
  <si>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</si>
  <si>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</si>
  <si>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</si>
  <si>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</si>
  <si>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</si>
  <si>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</si>
  <si>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</si>
  <si>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</si>
  <si>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</si>
  <si>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</si>
  <si>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</si>
  <si>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</si>
  <si>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</si>
  <si>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</si>
  <si>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</si>
  <si>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</si>
  <si>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</si>
  <si>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</si>
  <si>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</si>
  <si>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</si>
  <si>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</si>
  <si>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</si>
  <si>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</si>
  <si>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</si>
  <si>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</si>
  <si>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</si>
  <si>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</si>
  <si>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</si>
  <si>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</si>
  <si>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</si>
  <si>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</si>
  <si>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</si>
  <si>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</si>
  <si>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</si>
  <si>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</si>
  <si>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</si>
  <si>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</si>
  <si>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</si>
  <si>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</si>
  <si>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</si>
  <si>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</si>
  <si>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</si>
  <si>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</si>
  <si>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</si>
  <si>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</si>
  <si>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</si>
  <si>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</si>
  <si>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</si>
  <si>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</si>
  <si>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</si>
  <si>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</si>
  <si>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</si>
  <si>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</si>
  <si>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</si>
  <si>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</si>
  <si>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</si>
  <si>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</si>
  <si>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</si>
  <si>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</si>
  <si>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</si>
  <si>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</si>
  <si>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</si>
  <si>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</si>
  <si>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</si>
  <si>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</si>
  <si>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</si>
  <si>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</si>
  <si>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</si>
  <si>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</si>
  <si>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</si>
  <si>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</si>
  <si>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</si>
  <si>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</si>
  <si>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</si>
  <si>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</si>
  <si>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</si>
  <si>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</si>
  <si>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</si>
  <si>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</si>
  <si>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</si>
  <si>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</si>
  <si>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</si>
  <si>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</si>
  <si>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</si>
  <si>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</si>
  <si>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</si>
  <si>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</si>
  <si>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</si>
  <si>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</si>
  <si>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</si>
  <si>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</si>
  <si>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</si>
  <si>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</si>
  <si>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</si>
  <si>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</si>
  <si>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</si>
  <si>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</si>
  <si>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</si>
  <si>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</si>
  <si>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</si>
  <si>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</si>
  <si>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</si>
  <si>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</si>
  <si>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</si>
  <si>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</si>
  <si>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</si>
  <si>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</si>
  <si>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</si>
  <si>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</si>
  <si>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</si>
  <si>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</si>
  <si>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</si>
  <si>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</si>
  <si>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</si>
  <si>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</si>
  <si>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</si>
  <si>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</si>
  <si>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</si>
  <si>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</si>
  <si>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</si>
  <si>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</si>
  <si>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</si>
  <si>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</si>
  <si>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</si>
  <si>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</si>
  <si>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</si>
  <si>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</si>
  <si>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</si>
  <si>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</si>
  <si>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</si>
  <si>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</si>
  <si>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</si>
  <si>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</si>
  <si>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</si>
  <si>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</si>
  <si>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</si>
  <si>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</si>
  <si>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</si>
  <si>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</si>
  <si>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</si>
  <si>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</si>
  <si>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</si>
  <si>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</si>
  <si>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</si>
  <si>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</si>
  <si>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</si>
  <si>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</si>
  <si>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</si>
  <si>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</si>
  <si>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</si>
  <si>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</si>
  <si>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</si>
  <si>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</si>
  <si>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</si>
  <si>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</si>
  <si>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</si>
  <si>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</si>
  <si>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</si>
  <si>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</si>
  <si>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</si>
  <si>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</si>
  <si>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</si>
  <si>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</si>
  <si>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</si>
  <si>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</si>
  <si>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</si>
  <si>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</si>
  <si>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</si>
  <si>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</si>
  <si>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</si>
  <si>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</si>
  <si>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</si>
  <si>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</si>
  <si>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</si>
  <si>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</si>
  <si>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 "&gt;20")</t>
  </si>
  <si>
    <t>Text to Columns</t>
  </si>
  <si>
    <r>
      <t xml:space="preserve">To split the combined values in Excel, select the cells, go to the </t>
    </r>
    <r>
      <rPr>
        <b/>
        <sz val="10"/>
        <color rgb="FF000000"/>
        <rFont val="Times New Roman"/>
        <charset val="204"/>
      </rPr>
      <t>Data</t>
    </r>
    <r>
      <rPr>
        <sz val="10"/>
        <color rgb="FF000000"/>
        <rFont val="Times New Roman"/>
        <charset val="204"/>
      </rPr>
      <t xml:space="preserve"> tab, click </t>
    </r>
    <r>
      <rPr>
        <b/>
        <sz val="10"/>
        <color rgb="FF000000"/>
        <rFont val="Times New Roman"/>
        <charset val="204"/>
      </rPr>
      <t>Text to Columns</t>
    </r>
    <r>
      <rPr>
        <sz val="10"/>
        <color rgb="FF000000"/>
        <rFont val="Times New Roman"/>
        <charset val="204"/>
      </rPr>
      <t xml:space="preserve">, choose </t>
    </r>
    <r>
      <rPr>
        <b/>
        <sz val="10"/>
        <color rgb="FF000000"/>
        <rFont val="Times New Roman"/>
        <charset val="204"/>
      </rPr>
      <t>Delimited</t>
    </r>
    <r>
      <rPr>
        <sz val="10"/>
        <color rgb="FF000000"/>
        <rFont val="Times New Roman"/>
        <charset val="204"/>
      </rPr>
      <t xml:space="preserve">, select </t>
    </r>
    <r>
      <rPr>
        <b/>
        <sz val="10"/>
        <color rgb="FF000000"/>
        <rFont val="Times New Roman"/>
        <charset val="204"/>
      </rPr>
      <t>Hyphen (-)</t>
    </r>
    <r>
      <rPr>
        <sz val="10"/>
        <color rgb="FF000000"/>
        <rFont val="Times New Roman"/>
        <charset val="204"/>
      </rPr>
      <t xml:space="preserve"> as the delimiter, and click </t>
    </r>
    <r>
      <rPr>
        <b/>
        <sz val="10"/>
        <color rgb="FF000000"/>
        <rFont val="Times New Roman"/>
        <charset val="204"/>
      </rPr>
      <t>Finish</t>
    </r>
    <r>
      <rPr>
        <sz val="10"/>
        <color rgb="FF000000"/>
        <rFont val="Times New Roman"/>
        <charset val="204"/>
      </rPr>
      <t>.</t>
    </r>
  </si>
  <si>
    <t>SUM(IFNA(Table_A, 20))</t>
  </si>
  <si>
    <r>
      <t>IFNA(Table_A, 20)</t>
    </r>
    <r>
      <rPr>
        <sz val="10"/>
        <color rgb="FF000000"/>
        <rFont val="Times New Roman"/>
        <family val="1"/>
      </rPr>
      <t xml:space="preserve">: This function replaces any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errors within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with </t>
    </r>
    <r>
      <rPr>
        <sz val="10"/>
        <color rgb="FF000000"/>
        <rFont val="Arial Unicode MS"/>
      </rPr>
      <t>20</t>
    </r>
    <r>
      <rPr>
        <sz val="10"/>
        <color rgb="FF000000"/>
        <rFont val="Times New Roman"/>
        <family val="1"/>
      </rPr>
      <t>.</t>
    </r>
    <r>
      <rPr>
        <b/>
        <sz val="10"/>
        <color rgb="FF000000"/>
        <rFont val="Arial Unicode MS"/>
      </rPr>
      <t>SUM: This calculates the total sum of the values in Table_A, with #N/A substituted by 20.</t>
    </r>
  </si>
  <si>
    <t>INDEX($B$10:$J$18, MATCH(VLOOKUP(A23, $M$9:$N$18, 2, FALSE), $A$10:$A$18, 0), MATCH(VLOOKUP(B23, $M$9:$N$18, 2, FALSE), $B$9:$J$9, 0))</t>
  </si>
  <si>
    <t>1)Vlookup finds the corresponding letter for each ID from Table_B. 2)MATCH locates the row and column in Table_A for those letters. 3)INDEX retrieves the value from Table_A based on the row and column positions found.</t>
  </si>
  <si>
    <t>This formula populates the "value" column in Table_C by comparing data from Table_A and Table_B.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</si>
</sst>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2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Times New Roman"/>
      <charset val="204"/>
    </font>
    <font>
      <b/>
      <sz val="10"/>
      <color rgb="FF000000"/>
      <name val="Arial Unicode MS"/>
    </font>
    <font>
      <sz val="10"/>
      <color rgb="FF000000"/>
      <name val="Arial Unicode MS"/>
    </font>
    <font>
      <b/>
      <sz val="10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2"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/>
  <cols>
    <col min="1" max="1" width="70.796875" style="2" bestFit="1" customWidth="1"/>
    <col min="2" max="16384" width="11" style="2"/>
  </cols>
  <sheetData>
    <row r="1" spans="1:3" ht="18.5">
      <c r="A1" s="38" t="s">
        <v>109</v>
      </c>
    </row>
    <row r="2" spans="1:3">
      <c r="A2" s="2" t="s">
        <v>110</v>
      </c>
    </row>
    <row r="3" spans="1:3">
      <c r="A3" s="2" t="s">
        <v>111</v>
      </c>
    </row>
    <row r="4" spans="1:3" ht="14.5">
      <c r="A4" s="2" t="s">
        <v>177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5" t="s">
        <v>171</v>
      </c>
      <c r="B9" s="26" t="s">
        <v>169</v>
      </c>
    </row>
    <row r="10" spans="1:3">
      <c r="A10" s="34" t="s">
        <v>172</v>
      </c>
      <c r="B10" s="36">
        <v>25</v>
      </c>
    </row>
    <row r="11" spans="1:3">
      <c r="A11" s="34" t="s">
        <v>55</v>
      </c>
      <c r="B11" s="36">
        <v>30</v>
      </c>
    </row>
    <row r="12" spans="1:3">
      <c r="A12" s="34" t="s">
        <v>56</v>
      </c>
      <c r="B12" s="36">
        <v>10</v>
      </c>
    </row>
    <row r="13" spans="1:3">
      <c r="A13" s="34" t="s">
        <v>85</v>
      </c>
      <c r="B13" s="36">
        <v>20</v>
      </c>
    </row>
    <row r="14" spans="1:3">
      <c r="A14" s="34" t="s">
        <v>98</v>
      </c>
      <c r="B14" s="36">
        <v>40</v>
      </c>
    </row>
    <row r="15" spans="1: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N1" zoomScaleNormal="100" workbookViewId="0">
      <pane ySplit="1" topLeftCell="A2" activePane="bottomLeft" state="frozen"/>
      <selection activeCell="F1" sqref="F1"/>
      <selection pane="bottomLeft" activeCell="X1" sqref="X1:X1048576"/>
    </sheetView>
  </sheetViews>
  <sheetFormatPr defaultColWidth="9" defaultRowHeight="14.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106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>
      <c r="H41">
        <f>SUMIF(H2:H40, "&gt;20")</f>
        <v>1473.0000000000002</v>
      </c>
    </row>
  </sheetData>
  <conditionalFormatting sqref="A1:A1048576">
    <cfRule type="duplicateValues" dxfId="9" priority="10"/>
  </conditionalFormatting>
  <conditionalFormatting sqref="B1:B1048576">
    <cfRule type="duplicateValues" dxfId="8" priority="9"/>
  </conditionalFormatting>
  <conditionalFormatting sqref="A1">
    <cfRule type="cellIs" dxfId="7" priority="8" operator="equal">
      <formula>-1</formula>
    </cfRule>
    <cfRule type="cellIs" dxfId="6" priority="7" operator="equal">
      <formula>-1</formula>
    </cfRule>
  </conditionalFormatting>
  <conditionalFormatting sqref="J2">
    <cfRule type="cellIs" dxfId="5" priority="6" operator="equal">
      <formula>-1</formula>
    </cfRule>
    <cfRule type="cellIs" dxfId="4" priority="5" operator="equal">
      <formula>0</formula>
    </cfRule>
  </conditionalFormatting>
  <conditionalFormatting sqref="J1:L40">
    <cfRule type="cellIs" dxfId="3" priority="4" operator="equal">
      <formula>-1</formula>
    </cfRule>
    <cfRule type="cellIs" dxfId="2" priority="3" operator="equal">
      <formula>0</formula>
    </cfRule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0" sqref="B10"/>
    </sheetView>
  </sheetViews>
  <sheetFormatPr defaultColWidth="11" defaultRowHeight="14.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20.3984375" style="1" bestFit="1" customWidth="1"/>
    <col min="5" max="5" width="14.398437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108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3" t="s">
        <v>105</v>
      </c>
      <c r="D5" t="s">
        <v>178</v>
      </c>
      <c r="E5" s="1">
        <v>10</v>
      </c>
    </row>
    <row r="6" spans="1:5">
      <c r="A6" s="6">
        <v>4</v>
      </c>
      <c r="B6" s="2" t="s">
        <v>107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0" sqref="F30"/>
    </sheetView>
  </sheetViews>
  <sheetFormatPr defaultColWidth="11" defaultRowHeight="1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164</v>
      </c>
    </row>
    <row r="2" spans="1:7" s="40" customFormat="1" ht="21">
      <c r="B2" s="40" t="s">
        <v>161</v>
      </c>
    </row>
    <row r="3" spans="1:7" ht="14.5">
      <c r="A3" s="1"/>
      <c r="B3" s="1"/>
      <c r="C3" s="1"/>
      <c r="D3" s="1"/>
      <c r="E3" s="1"/>
      <c r="F3" s="1"/>
      <c r="G3" s="1"/>
    </row>
    <row r="4" spans="1:7" ht="23.5">
      <c r="A4" s="18" t="s">
        <v>162</v>
      </c>
      <c r="B4" s="1"/>
      <c r="C4" s="1"/>
      <c r="D4" s="1"/>
      <c r="E4" s="1"/>
      <c r="F4" s="1"/>
      <c r="G4" s="1"/>
    </row>
    <row r="5" spans="1:7" ht="14.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>
      <c r="A6" s="7" t="s">
        <v>40</v>
      </c>
      <c r="B6" s="46">
        <f>VLOOKUP(A6, Dataset!A1:G40, 7, 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4.5">
      <c r="A7" s="7" t="s">
        <v>4</v>
      </c>
      <c r="B7" s="46">
        <f>VLOOKUP(A7, Dataset!A2:G41, 7, 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4.5">
      <c r="A8" s="7" t="s">
        <v>7</v>
      </c>
      <c r="B8" s="46">
        <f>VLOOKUP(A8, Dataset!A3:G42, 7, 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4.5">
      <c r="A9" s="7" t="s">
        <v>8</v>
      </c>
      <c r="B9" s="46">
        <f>VLOOKUP(A9, Dataset!A4:G43, 7, 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4.5">
      <c r="A10" s="7" t="s">
        <v>11</v>
      </c>
      <c r="B10" s="46">
        <f>VLOOKUP(A10, Dataset!A5:G44, 7, 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4.5">
      <c r="A11" s="7" t="s">
        <v>12</v>
      </c>
      <c r="B11" s="46">
        <f>VLOOKUP(A11, Dataset!A6:G45, 7, 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4.5">
      <c r="A12" s="7" t="s">
        <v>14</v>
      </c>
      <c r="B12" s="46">
        <f>VLOOKUP(A12, Dataset!A7:G46, 7, 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4.5">
      <c r="A13" s="7" t="s">
        <v>15</v>
      </c>
      <c r="B13" s="46">
        <f>VLOOKUP(A13, Dataset!A8:G47, 7, 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4.5">
      <c r="A14" s="7" t="s">
        <v>16</v>
      </c>
      <c r="B14" s="46">
        <f>VLOOKUP(A14, Dataset!A9:G48, 7, 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4.5">
      <c r="A15" s="7" t="s">
        <v>18</v>
      </c>
      <c r="B15" s="46">
        <f>VLOOKUP(A15, Dataset!A10:G49, 7, 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4.5">
      <c r="A16" s="7" t="s">
        <v>20</v>
      </c>
      <c r="B16" s="46">
        <f>VLOOKUP(A16, Dataset!A11:G50, 7, 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4.5">
      <c r="A17" s="7" t="s">
        <v>22</v>
      </c>
      <c r="B17" s="46">
        <f>VLOOKUP(A17, Dataset!A12:G51, 7, 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4.5">
      <c r="A18" s="7" t="s">
        <v>23</v>
      </c>
      <c r="B18" s="46">
        <f>VLOOKUP(A18, Dataset!A13:G52, 7, 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4.5">
      <c r="A19" s="7" t="s">
        <v>24</v>
      </c>
      <c r="B19" s="46">
        <f>VLOOKUP(A19, Dataset!A14:G53, 7, 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4.5">
      <c r="A20" s="7" t="s">
        <v>28</v>
      </c>
      <c r="B20" s="46">
        <f>VLOOKUP(A20, Dataset!A15:G54, 7, 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4.5">
      <c r="A21" s="7" t="s">
        <v>57</v>
      </c>
      <c r="B21" s="46">
        <f>VLOOKUP(A21, Dataset!A16:G55, 7, 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4.5">
      <c r="A22" s="7" t="s">
        <v>58</v>
      </c>
      <c r="B22" s="46">
        <f>VLOOKUP(A22, Dataset!A17:G56, 7, 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4.5">
      <c r="A23" s="7" t="s">
        <v>31</v>
      </c>
      <c r="B23" s="46">
        <f>VLOOKUP(A23, Dataset!A18:G57, 7, 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4.5">
      <c r="A24" s="7" t="s">
        <v>32</v>
      </c>
      <c r="B24" s="46">
        <f>VLOOKUP(A24, Dataset!A19:G58, 7, 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4.5">
      <c r="A25" s="7" t="s">
        <v>34</v>
      </c>
      <c r="B25" s="46">
        <f>VLOOKUP(A25, Dataset!A20:G59, 7, 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4.5">
      <c r="A26" s="7" t="s">
        <v>37</v>
      </c>
      <c r="B26" s="46">
        <f>VLOOKUP(A26, Dataset!A21:G60, 7, 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4.5">
      <c r="A27" s="7" t="s">
        <v>39</v>
      </c>
      <c r="B27" s="46">
        <f>VLOOKUP(A27, Dataset!A22:G61, 7, 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4.5">
      <c r="A28" s="19" t="s">
        <v>82</v>
      </c>
      <c r="B28" s="46">
        <f>MIN(B6:B27)</f>
        <v>-1</v>
      </c>
      <c r="C28" s="46">
        <f t="shared" ref="C28:F28" si="0">MIN(C6:C27)</f>
        <v>-1</v>
      </c>
      <c r="D28" s="46">
        <f t="shared" si="0"/>
        <v>-1</v>
      </c>
      <c r="E28" s="46">
        <f t="shared" si="0"/>
        <v>-1</v>
      </c>
      <c r="F28" s="46">
        <f t="shared" si="0"/>
        <v>-1</v>
      </c>
    </row>
    <row r="29" spans="1:6" ht="14.5">
      <c r="A29" s="19" t="s">
        <v>83</v>
      </c>
      <c r="B29" s="46">
        <f>MAX(B6:B27)</f>
        <v>51.8</v>
      </c>
      <c r="C29" s="46">
        <f t="shared" ref="C29:F29" si="1">MAX(C6:C27)</f>
        <v>156.4</v>
      </c>
      <c r="D29" s="46">
        <f t="shared" si="1"/>
        <v>93.1</v>
      </c>
      <c r="E29" s="46">
        <f t="shared" si="1"/>
        <v>188.1</v>
      </c>
      <c r="F29" s="46">
        <f t="shared" si="1"/>
        <v>93.1</v>
      </c>
    </row>
    <row r="30" spans="1:6" ht="14.5">
      <c r="A30" s="19" t="s">
        <v>84</v>
      </c>
      <c r="B30" s="46">
        <f>AVERAGE(B6:B27)</f>
        <v>20.827272727272728</v>
      </c>
      <c r="C30" s="46">
        <f t="shared" ref="C30:F30" si="2">AVERAGE(C6:C27)</f>
        <v>62.377272727272725</v>
      </c>
      <c r="D30" s="46">
        <f t="shared" si="2"/>
        <v>37.800000000000004</v>
      </c>
      <c r="E30" s="46">
        <f t="shared" si="2"/>
        <v>76.418181818181822</v>
      </c>
      <c r="F30" s="46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N54"/>
  <sheetViews>
    <sheetView topLeftCell="A15" zoomScaleNormal="100" workbookViewId="0">
      <selection activeCell="E8" sqref="E8"/>
    </sheetView>
  </sheetViews>
  <sheetFormatPr defaultColWidth="11" defaultRowHeight="14.5"/>
  <cols>
    <col min="1" max="1" width="39.796875" style="1" bestFit="1" customWidth="1"/>
    <col min="2" max="16384" width="11" style="1"/>
  </cols>
  <sheetData>
    <row r="1" spans="1:14" s="40" customFormat="1" ht="21">
      <c r="A1" s="41" t="s">
        <v>56</v>
      </c>
      <c r="B1" s="40" t="s">
        <v>174</v>
      </c>
    </row>
    <row r="2" spans="1:14" customFormat="1" ht="13"/>
    <row r="3" spans="1:14" s="2" customFormat="1">
      <c r="B3" s="1"/>
    </row>
    <row r="4" spans="1:14" s="2" customFormat="1">
      <c r="B4" s="1" t="s">
        <v>151</v>
      </c>
    </row>
    <row r="5" spans="1:14" ht="18.5">
      <c r="A5" s="42" t="s">
        <v>53</v>
      </c>
      <c r="B5" s="47" t="s">
        <v>179</v>
      </c>
      <c r="C5" s="47"/>
    </row>
    <row r="6" spans="1:14" ht="18.5">
      <c r="A6" s="42" t="s">
        <v>153</v>
      </c>
      <c r="B6" s="47" t="s">
        <v>180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</row>
    <row r="7" spans="1:14" ht="18.5">
      <c r="A7" s="42"/>
      <c r="B7" s="39"/>
    </row>
    <row r="9" spans="1:14" ht="23.5">
      <c r="A9" s="18" t="s">
        <v>165</v>
      </c>
      <c r="I9" s="2"/>
      <c r="J9" s="2"/>
    </row>
    <row r="10" spans="1:14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4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4" ht="23.5">
      <c r="A14" s="18" t="s">
        <v>162</v>
      </c>
    </row>
    <row r="15" spans="1:14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4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2">
    <mergeCell ref="B6:N6"/>
    <mergeCell ref="B5:C5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M22"/>
  <sheetViews>
    <sheetView topLeftCell="A5" zoomScaleNormal="100" workbookViewId="0">
      <selection activeCell="E10" sqref="E10"/>
    </sheetView>
  </sheetViews>
  <sheetFormatPr defaultColWidth="11" defaultRowHeight="1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3" ht="21">
      <c r="A1" s="41" t="s">
        <v>85</v>
      </c>
      <c r="B1" s="40" t="s">
        <v>167</v>
      </c>
    </row>
    <row r="2" spans="1:13" ht="18.5">
      <c r="B2" s="39" t="s">
        <v>166</v>
      </c>
    </row>
    <row r="5" spans="1:13" ht="14.5">
      <c r="B5" s="1" t="s">
        <v>151</v>
      </c>
    </row>
    <row r="6" spans="1:13" ht="14.5">
      <c r="A6" s="3" t="s">
        <v>53</v>
      </c>
      <c r="B6" s="47" t="s">
        <v>181</v>
      </c>
      <c r="C6" s="47"/>
    </row>
    <row r="7" spans="1:13" ht="14.5">
      <c r="A7" s="3" t="s">
        <v>153</v>
      </c>
      <c r="B7" s="48" t="s">
        <v>182</v>
      </c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</row>
    <row r="10" spans="1:13" ht="23.5">
      <c r="A10" s="18" t="s">
        <v>162</v>
      </c>
    </row>
    <row r="11" spans="1:13" ht="14.5">
      <c r="A11" s="31" t="s">
        <v>86</v>
      </c>
      <c r="B11" s="17" t="s">
        <v>87</v>
      </c>
      <c r="C11" s="17" t="s">
        <v>88</v>
      </c>
    </row>
    <row r="12" spans="1:13" ht="14.5">
      <c r="A12" s="31">
        <v>44927</v>
      </c>
      <c r="B12" s="17" t="s">
        <v>59</v>
      </c>
      <c r="C12" s="17">
        <v>200</v>
      </c>
    </row>
    <row r="13" spans="1:13" ht="14.5">
      <c r="A13" s="31">
        <v>44928</v>
      </c>
      <c r="B13" s="17" t="s">
        <v>60</v>
      </c>
      <c r="C13" s="17" t="e">
        <v>#N/A</v>
      </c>
    </row>
    <row r="14" spans="1:13" ht="14.5">
      <c r="A14" s="31">
        <v>44929</v>
      </c>
      <c r="B14" s="17" t="s">
        <v>61</v>
      </c>
      <c r="C14" s="17">
        <v>50</v>
      </c>
    </row>
    <row r="15" spans="1:13" ht="14.5">
      <c r="A15" s="31">
        <v>44930</v>
      </c>
      <c r="B15" s="17" t="s">
        <v>62</v>
      </c>
      <c r="C15" s="17" t="e">
        <v>#N/A</v>
      </c>
    </row>
    <row r="16" spans="1:13" ht="14.5">
      <c r="A16" s="31">
        <v>44931</v>
      </c>
      <c r="B16" s="17" t="s">
        <v>63</v>
      </c>
      <c r="C16" s="17">
        <v>10</v>
      </c>
    </row>
    <row r="17" spans="1:3" ht="14.5">
      <c r="A17" s="31">
        <v>44932</v>
      </c>
      <c r="B17" s="17" t="s">
        <v>154</v>
      </c>
      <c r="C17" s="17">
        <v>150</v>
      </c>
    </row>
    <row r="18" spans="1:3" ht="14.5">
      <c r="A18" s="31">
        <v>44933</v>
      </c>
      <c r="B18" s="17" t="s">
        <v>155</v>
      </c>
      <c r="C18" s="17">
        <v>80</v>
      </c>
    </row>
    <row r="19" spans="1:3" ht="14.5">
      <c r="A19" s="31">
        <v>44934</v>
      </c>
      <c r="B19" s="17" t="s">
        <v>156</v>
      </c>
      <c r="C19" s="17" t="e">
        <v>#N/A</v>
      </c>
    </row>
    <row r="20" spans="1:3" ht="14.5">
      <c r="A20" s="31">
        <v>44935</v>
      </c>
      <c r="B20" s="17" t="s">
        <v>157</v>
      </c>
      <c r="C20" s="17">
        <v>30</v>
      </c>
    </row>
    <row r="21" spans="1:3" ht="14.5">
      <c r="A21" s="31">
        <v>44936</v>
      </c>
      <c r="B21" s="17" t="s">
        <v>158</v>
      </c>
      <c r="C21" s="17" t="e">
        <v>#N/A</v>
      </c>
    </row>
    <row r="22" spans="1:3" ht="14.5">
      <c r="B22" s="17" t="s">
        <v>159</v>
      </c>
      <c r="C22" cm="1">
        <f t="array" ref="C22">SUM(_xlfn.IFNA(C12:C21, 20))</f>
        <v>600</v>
      </c>
    </row>
  </sheetData>
  <mergeCells count="2">
    <mergeCell ref="B6:C6"/>
    <mergeCell ref="B7:M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R35"/>
  <sheetViews>
    <sheetView tabSelected="1" zoomScaleNormal="100" workbookViewId="0">
      <selection activeCell="E8" sqref="E8"/>
    </sheetView>
  </sheetViews>
  <sheetFormatPr defaultColWidth="11" defaultRowHeight="13"/>
  <cols>
    <col min="1" max="1" width="28.19921875" style="2" bestFit="1" customWidth="1"/>
    <col min="2" max="16384" width="11" style="2"/>
  </cols>
  <sheetData>
    <row r="1" spans="1:18" ht="21">
      <c r="A1" s="41" t="s">
        <v>98</v>
      </c>
      <c r="B1" s="40" t="s">
        <v>175</v>
      </c>
    </row>
    <row r="3" spans="1:18" ht="14.5">
      <c r="B3" s="1" t="s">
        <v>151</v>
      </c>
    </row>
    <row r="4" spans="1:18" ht="18.5">
      <c r="A4" s="42" t="s">
        <v>53</v>
      </c>
      <c r="B4" s="1"/>
      <c r="C4" s="49" t="s">
        <v>183</v>
      </c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</row>
    <row r="5" spans="1:18" ht="18.5">
      <c r="A5" s="42" t="s">
        <v>153</v>
      </c>
      <c r="B5" s="47" t="s">
        <v>184</v>
      </c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</row>
    <row r="6" spans="1:18" ht="14.5">
      <c r="A6" s="3"/>
      <c r="B6" s="47" t="s">
        <v>185</v>
      </c>
      <c r="C6" s="47"/>
      <c r="D6" s="47"/>
      <c r="E6" s="47"/>
      <c r="F6" s="47"/>
      <c r="G6" s="47"/>
      <c r="H6" s="47"/>
      <c r="I6" s="47"/>
    </row>
    <row r="7" spans="1:18">
      <c r="B7"/>
    </row>
    <row r="8" spans="1:18" ht="23.5">
      <c r="A8" s="18" t="s">
        <v>162</v>
      </c>
      <c r="M8" s="18" t="s">
        <v>163</v>
      </c>
    </row>
    <row r="9" spans="1:18" ht="14.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8" ht="14.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8" ht="14.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8" ht="14.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8" ht="14.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8" ht="14.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8" ht="14.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8" ht="14.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>
      <c r="A21" s="18" t="s">
        <v>168</v>
      </c>
    </row>
    <row r="22" spans="1:14" ht="14.5">
      <c r="A22" s="14" t="s">
        <v>100</v>
      </c>
      <c r="B22" s="17" t="s">
        <v>101</v>
      </c>
      <c r="C22" s="16" t="s">
        <v>102</v>
      </c>
    </row>
    <row r="23" spans="1:14" ht="14.5">
      <c r="A23" s="7">
        <v>10100</v>
      </c>
      <c r="B23" s="12">
        <v>10102</v>
      </c>
      <c r="C23" s="43">
        <f>INDEX($B$10:$J$18, MATCH(VLOOKUP(A23, $M$9:$N$18, 2, FALSE), $A$10:$A$18, 0), MATCH(VLOOKUP(B23, $M$9:$N$18, 2, FALSE), $B$9:$J$9, 0))</f>
        <v>95</v>
      </c>
    </row>
    <row r="24" spans="1:14" ht="14.5">
      <c r="A24" s="7">
        <v>10100</v>
      </c>
      <c r="B24" s="12">
        <v>10104</v>
      </c>
      <c r="C24" s="43">
        <f t="shared" ref="C24:C35" si="0">INDEX($B$10:$J$18, MATCH(VLOOKUP(A24, $M$9:$N$18, 2, FALSE), $A$10:$A$18, 0), MATCH(VLOOKUP(B24, $M$9:$N$18, 2, FALSE), $B$9:$J$9, 0))</f>
        <v>-1</v>
      </c>
    </row>
    <row r="25" spans="1:14" ht="14.5">
      <c r="A25" s="7">
        <v>10108</v>
      </c>
      <c r="B25" s="12">
        <v>10102</v>
      </c>
      <c r="C25" s="43">
        <f t="shared" si="0"/>
        <v>160</v>
      </c>
    </row>
    <row r="26" spans="1:14" ht="14.5">
      <c r="A26" s="7">
        <v>10100</v>
      </c>
      <c r="B26" s="12">
        <v>10106</v>
      </c>
      <c r="C26" s="43">
        <f t="shared" si="0"/>
        <v>185</v>
      </c>
    </row>
    <row r="27" spans="1:14" ht="14.5">
      <c r="A27" s="7">
        <v>10108</v>
      </c>
      <c r="B27" s="12">
        <v>10110</v>
      </c>
      <c r="C27" s="43">
        <f t="shared" si="0"/>
        <v>50</v>
      </c>
    </row>
    <row r="28" spans="1:14" ht="14.5">
      <c r="A28" s="7">
        <v>10102</v>
      </c>
      <c r="B28" s="12">
        <v>10104</v>
      </c>
      <c r="C28" s="43">
        <f t="shared" si="0"/>
        <v>-1</v>
      </c>
    </row>
    <row r="29" spans="1:14" ht="14.5">
      <c r="A29" s="7">
        <v>10106</v>
      </c>
      <c r="B29" s="12">
        <v>10108</v>
      </c>
      <c r="C29" s="43">
        <f t="shared" si="0"/>
        <v>70</v>
      </c>
    </row>
    <row r="30" spans="1:14" ht="14.5">
      <c r="A30" s="7">
        <v>10102</v>
      </c>
      <c r="B30" s="12">
        <v>10106</v>
      </c>
      <c r="C30" s="43">
        <f t="shared" si="0"/>
        <v>90</v>
      </c>
    </row>
    <row r="31" spans="1:14" ht="14.5">
      <c r="A31" s="7">
        <v>10110</v>
      </c>
      <c r="B31" s="12">
        <v>10114</v>
      </c>
      <c r="C31" s="43">
        <f t="shared" si="0"/>
        <v>180</v>
      </c>
    </row>
    <row r="32" spans="1:14" ht="14.5">
      <c r="A32" s="7">
        <v>10104</v>
      </c>
      <c r="B32" s="12">
        <v>10106</v>
      </c>
      <c r="C32" s="43">
        <f t="shared" si="0"/>
        <v>60</v>
      </c>
    </row>
    <row r="33" spans="1:3" ht="14.5">
      <c r="A33" s="7">
        <v>10110</v>
      </c>
      <c r="B33" s="12">
        <v>10112</v>
      </c>
      <c r="C33" s="43">
        <f t="shared" si="0"/>
        <v>115</v>
      </c>
    </row>
    <row r="34" spans="1:3" ht="14.5">
      <c r="A34" s="7">
        <v>10100</v>
      </c>
      <c r="B34" s="12">
        <v>10114</v>
      </c>
      <c r="C34" s="43">
        <f t="shared" si="0"/>
        <v>480</v>
      </c>
    </row>
    <row r="35" spans="1:3" ht="14.5">
      <c r="A35" s="9">
        <v>10112</v>
      </c>
      <c r="B35" s="13">
        <v>10116</v>
      </c>
      <c r="C35" s="43">
        <f t="shared" si="0"/>
        <v>105</v>
      </c>
    </row>
  </sheetData>
  <mergeCells count="3">
    <mergeCell ref="C4:N4"/>
    <mergeCell ref="B5:R5"/>
    <mergeCell ref="B6:I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Sayali Suryawanshi</cp:lastModifiedBy>
  <dcterms:created xsi:type="dcterms:W3CDTF">2015-02-10T17:33:11Z</dcterms:created>
  <dcterms:modified xsi:type="dcterms:W3CDTF">2024-10-24T11:24:57Z</dcterms:modified>
</cp:coreProperties>
</file>